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<sst xmlns="http://schemas.openxmlformats.org/spreadsheetml/2006/main" count="299" uniqueCount="142">
  <si>
    <t xml:space="preserve">Total Spending </t>
  </si>
  <si>
    <t>Part Name</t>
  </si>
  <si>
    <t>Assembly Name</t>
  </si>
  <si>
    <t>Type</t>
  </si>
  <si>
    <t>Manufacturing Method</t>
  </si>
  <si>
    <t>Assembly Method</t>
  </si>
  <si>
    <t>Purchased</t>
  </si>
  <si>
    <t>CAD Design Status</t>
  </si>
  <si>
    <t>Reason, if CAD Not Required</t>
  </si>
  <si>
    <t>Price</t>
  </si>
  <si>
    <t>Quantity</t>
  </si>
  <si>
    <t>Invoice Number</t>
  </si>
  <si>
    <t>Bills</t>
  </si>
  <si>
    <t>Date of Purchase</t>
  </si>
  <si>
    <t>Vendor</t>
  </si>
  <si>
    <t>Reason, if Others was choosen in any of the options</t>
  </si>
  <si>
    <t>Mild Steel</t>
  </si>
  <si>
    <t>Metal Frame</t>
  </si>
  <si>
    <t>Raw Material for Manufacturing</t>
  </si>
  <si>
    <t>Other</t>
  </si>
  <si>
    <t>Welding</t>
  </si>
  <si>
    <t>Offline</t>
  </si>
  <si>
    <t>CAD Design Complete</t>
  </si>
  <si>
    <t>#99</t>
  </si>
  <si>
    <t>mild steel.pdf</t>
  </si>
  <si>
    <t>A2Z</t>
  </si>
  <si>
    <t>MS Sheet</t>
  </si>
  <si>
    <t>#125</t>
  </si>
  <si>
    <t>MS Sheet.pdf</t>
  </si>
  <si>
    <t>Raw Material For Smart Bin</t>
  </si>
  <si>
    <t>Frame</t>
  </si>
  <si>
    <t>Machining (Cutting &amp; Drilling)</t>
  </si>
  <si>
    <t>#162</t>
  </si>
  <si>
    <t>Bill</t>
  </si>
  <si>
    <t xml:space="preserve">Acrylic ,Paint and GI Sheet </t>
  </si>
  <si>
    <t xml:space="preserve">PCB Depopulator Assembly </t>
  </si>
  <si>
    <t>Sheet Forming</t>
  </si>
  <si>
    <t>#228</t>
  </si>
  <si>
    <t>a2z bill paint acrylic and more.pdf</t>
  </si>
  <si>
    <t xml:space="preserve">GI Sheet </t>
  </si>
  <si>
    <t>Bin Structure</t>
  </si>
  <si>
    <t>#110</t>
  </si>
  <si>
    <t>GI sheet.pdf</t>
  </si>
  <si>
    <t xml:space="preserve">MS + acrylic sheet </t>
  </si>
  <si>
    <t>Covering and stand for PCB</t>
  </si>
  <si>
    <t>#263</t>
  </si>
  <si>
    <t>ms+acrylic for covering .pdf</t>
  </si>
  <si>
    <t xml:space="preserve">Screws Nut Bolts </t>
  </si>
  <si>
    <t>Metal Frame and Bin Structure</t>
  </si>
  <si>
    <t>Fastnerm</t>
  </si>
  <si>
    <t>3D Printing</t>
  </si>
  <si>
    <t>Fastening</t>
  </si>
  <si>
    <t>Borrowed from DP Lab</t>
  </si>
  <si>
    <t>CAD Not Required</t>
  </si>
  <si>
    <t>Screws already available in Solidworks</t>
  </si>
  <si>
    <t>#2676</t>
  </si>
  <si>
    <t>bill screw.pdf</t>
  </si>
  <si>
    <t>Ram Traders</t>
  </si>
  <si>
    <t>Ultrasonic Sensor</t>
  </si>
  <si>
    <t>Electrical Circuit</t>
  </si>
  <si>
    <t>Purchased Finished Part</t>
  </si>
  <si>
    <t>Purchased Directly</t>
  </si>
  <si>
    <t>Electrical Component</t>
  </si>
  <si>
    <t>339/2025-26</t>
  </si>
  <si>
    <t>IMG20251017220716.heic</t>
  </si>
  <si>
    <t>Audio Video Service Centre</t>
  </si>
  <si>
    <t>WebCam</t>
  </si>
  <si>
    <t>Online</t>
  </si>
  <si>
    <t>DED4-2595154</t>
  </si>
  <si>
    <t>invoice (1).pdf</t>
  </si>
  <si>
    <t>Amazon</t>
  </si>
  <si>
    <t>WebCam Marketplace fee</t>
  </si>
  <si>
    <t>MKT-257212707</t>
  </si>
  <si>
    <t>Speaker Module</t>
  </si>
  <si>
    <t>ATX1-567154</t>
  </si>
  <si>
    <t>speaker bill.pdf</t>
  </si>
  <si>
    <t>Speaker Module Marketplace fee</t>
  </si>
  <si>
    <t>MKT-272847070</t>
  </si>
  <si>
    <t>Power Bank</t>
  </si>
  <si>
    <t>DEL5-5873163</t>
  </si>
  <si>
    <t>invoice.pdf</t>
  </si>
  <si>
    <t xml:space="preserve">Amazon </t>
  </si>
  <si>
    <t>Power Bank Marketplace fee</t>
  </si>
  <si>
    <t>MKT-224134720</t>
  </si>
  <si>
    <t>Alluminium Heat Sink for Rpi4</t>
  </si>
  <si>
    <t>#3081509</t>
  </si>
  <si>
    <t>WhatsApp Image 2025-11-05 at 00.39.11_f5604e06.jpg</t>
  </si>
  <si>
    <t>Robu</t>
  </si>
  <si>
    <t>Case For Rpi4</t>
  </si>
  <si>
    <t>#3053286</t>
  </si>
  <si>
    <t>WhatsApp Image 2025-11-05 at 00.48.45_134bcea7.jpg</t>
  </si>
  <si>
    <t>Vacuum Pump</t>
  </si>
  <si>
    <t>Pump</t>
  </si>
  <si>
    <t>T1/00420</t>
  </si>
  <si>
    <t>vacuum bill.pdf</t>
  </si>
  <si>
    <t>Maini Electricals</t>
  </si>
  <si>
    <t xml:space="preserve">Hot Plate </t>
  </si>
  <si>
    <t>Heating</t>
  </si>
  <si>
    <t>SST/2025-26/008</t>
  </si>
  <si>
    <t>hotplate bill.jpg</t>
  </si>
  <si>
    <t>Sishma Scientific Traders</t>
  </si>
  <si>
    <t>Fan Blower</t>
  </si>
  <si>
    <t>Fan Blower Bill.jpg</t>
  </si>
  <si>
    <t>Mankoo Electric Works</t>
  </si>
  <si>
    <t>Ceramic Insulation Blanket</t>
  </si>
  <si>
    <t>IN-568</t>
  </si>
  <si>
    <t>Ceramic Blanket.pdf</t>
  </si>
  <si>
    <t>Ceramic Insulation Blanket Marketplace fee</t>
  </si>
  <si>
    <t>MKT-269632534</t>
  </si>
  <si>
    <t xml:space="preserve">Extention Board </t>
  </si>
  <si>
    <t>Extension Board Bill.jpg</t>
  </si>
  <si>
    <t>Jiwan Electric Stores</t>
  </si>
  <si>
    <t xml:space="preserve"> Motor Driver DRV8825</t>
  </si>
  <si>
    <t>338/2025-26</t>
  </si>
  <si>
    <t>IMG20251017220633.heic</t>
  </si>
  <si>
    <t>Load Cell + HX711</t>
  </si>
  <si>
    <t>1+1</t>
  </si>
  <si>
    <t>340/2025-26</t>
  </si>
  <si>
    <t>IMG20251017220651.heic</t>
  </si>
  <si>
    <t>YS-DIV268-5A Stepper Motor Driver</t>
  </si>
  <si>
    <t>DEL5-3833545</t>
  </si>
  <si>
    <t>motor driver for stepper.pdf</t>
  </si>
  <si>
    <t>YS-DIV268-5A Stepper Motor Driver Marketplace fee</t>
  </si>
  <si>
    <t>MKT-276489144</t>
  </si>
  <si>
    <t>Lab Gloves</t>
  </si>
  <si>
    <t>Safety</t>
  </si>
  <si>
    <t>Safety Component</t>
  </si>
  <si>
    <t>ATX1-723</t>
  </si>
  <si>
    <t>gloves.pdf</t>
  </si>
  <si>
    <t>Lab Gloves Marketplace fee</t>
  </si>
  <si>
    <t>MKT-273642335</t>
  </si>
  <si>
    <t>Power supply</t>
  </si>
  <si>
    <t>RNLH-6357</t>
  </si>
  <si>
    <t>power supply bill.pdf</t>
  </si>
  <si>
    <t>Power supply Marketplace fee</t>
  </si>
  <si>
    <t>MKT-280663344</t>
  </si>
  <si>
    <t>Battery</t>
  </si>
  <si>
    <t>Servo</t>
  </si>
  <si>
    <t>Stepper Motor</t>
  </si>
  <si>
    <t>Raspberry Pi</t>
  </si>
  <si>
    <t>Micro Sd card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</si>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</sst>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-mmm-yy"/>
  </numFmts>
  <fonts count="7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color theme="1"/>
      <name val="Lora"/>
    </font>
    <font>
      <sz val="9.0"/>
      <color theme="1"/>
      <name val="Nunito"/>
    </font>
    <font>
      <u/>
      <color rgb="FF1155CC"/>
      <name val="Arial"/>
    </font>
    <font>
      <u/>
      <color rgb="FF1155CC"/>
      <name val="Lora"/>
    </font>
  </fonts>
  <fills count="4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3" fillId="3" fontId="3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3" numFmtId="165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03j5b9NfD07mp-TA_c69nZBMUl-d2isc/view?usp=sharing" TargetMode="External"/><Relationship Id="rId22" Type="http://schemas.openxmlformats.org/officeDocument/2006/relationships/hyperlink" Target="https://drive.google.com/file/d/1-SyfV-J8QsLSe0toX0ElAZfBRrLgyiDw/view?usp=sharing" TargetMode="External"/><Relationship Id="rId21" Type="http://schemas.openxmlformats.org/officeDocument/2006/relationships/hyperlink" Target="https://drive.google.com/file/d/103j5b9NfD07mp-TA_c69nZBMUl-d2isc/view?usp=sharing" TargetMode="External"/><Relationship Id="rId24" Type="http://schemas.openxmlformats.org/officeDocument/2006/relationships/hyperlink" Target="https://drive.google.com/file/d/1sXZ2I21_zPG8-pErcfny125J8XbTL-0H/view?usp=sharing" TargetMode="External"/><Relationship Id="rId23" Type="http://schemas.openxmlformats.org/officeDocument/2006/relationships/hyperlink" Target="https://drive.google.com/file/d/1wcqMyeiRGANEz7x_3AZ8HlOxYGn_FrIG/view?usp=sharing" TargetMode="External"/><Relationship Id="rId1" Type="http://schemas.openxmlformats.org/officeDocument/2006/relationships/hyperlink" Target="https://drive.google.com/file/d/1QIsmK4YCOdgf_3yenXNvHcopvkcRDPWO/view?usp=sharing" TargetMode="External"/><Relationship Id="rId2" Type="http://schemas.openxmlformats.org/officeDocument/2006/relationships/hyperlink" Target="https://drive.google.com/file/d/1ynHdcNWmX0iU-SB3GtMpC10SeeWes1UX/view?usp=sharing" TargetMode="External"/><Relationship Id="rId3" Type="http://schemas.openxmlformats.org/officeDocument/2006/relationships/hyperlink" Target="https://drive.google.com/file/d/1nSvVK4zmFAYykZs3HyDOkAmtJ0UntyIS/view?usp=sharing" TargetMode="External"/><Relationship Id="rId4" Type="http://schemas.openxmlformats.org/officeDocument/2006/relationships/hyperlink" Target="https://drive.google.com/file/d/1YQiOJzQaHguRpVuHmRqeH_DYfBSCvXcD/view?usp=sharing" TargetMode="External"/><Relationship Id="rId9" Type="http://schemas.openxmlformats.org/officeDocument/2006/relationships/hyperlink" Target="https://drive.google.com/file/d/1WdGgs8KD7S56VyLepoplHJlvFNQ7aw7m/view?usp=sharing" TargetMode="External"/><Relationship Id="rId26" Type="http://schemas.openxmlformats.org/officeDocument/2006/relationships/hyperlink" Target="https://drive.google.com/file/d/1ZaReP2N4-LilRE3OmvAkqA1qvz2RBtmh/view?usp=sharing" TargetMode="External"/><Relationship Id="rId25" Type="http://schemas.openxmlformats.org/officeDocument/2006/relationships/hyperlink" Target="https://drive.google.com/file/d/1ZaReP2N4-LilRE3OmvAkqA1qvz2RBtmh/view?usp=sharing" TargetMode="External"/><Relationship Id="rId28" Type="http://schemas.openxmlformats.org/officeDocument/2006/relationships/hyperlink" Target="https://drive.google.com/file/d/1EiizKb7cILWFiQO9119dt_ykNaHlOZkI/view?usp=sharing" TargetMode="External"/><Relationship Id="rId27" Type="http://schemas.openxmlformats.org/officeDocument/2006/relationships/hyperlink" Target="https://drive.google.com/file/d/1EiizKb7cILWFiQO9119dt_ykNaHlOZkI/view?usp=sharing" TargetMode="External"/><Relationship Id="rId5" Type="http://schemas.openxmlformats.org/officeDocument/2006/relationships/hyperlink" Target="https://drive.google.com/file/d/1pPkF1sUb3jVbSXK8Jkx9vuyRyn9DvjNU/view?usp=sharing" TargetMode="External"/><Relationship Id="rId6" Type="http://schemas.openxmlformats.org/officeDocument/2006/relationships/hyperlink" Target="https://drive.google.com/file/d/1w8mb9un_-gyej0ABCXyPSvSI_XO86tZ7/view?usp=sharing" TargetMode="External"/><Relationship Id="rId29" Type="http://schemas.openxmlformats.org/officeDocument/2006/relationships/hyperlink" Target="https://drive.google.com/file/d/15PSYE9HjfH0hNEDoG0ndsTIOTZ4xvLA6/view?usp=sharing" TargetMode="External"/><Relationship Id="rId7" Type="http://schemas.openxmlformats.org/officeDocument/2006/relationships/hyperlink" Target="https://drive.google.com/file/d/1irVYZd-OhjhZvoA9C_F9mrRy1DQCUNAO/view?usp=sharing" TargetMode="External"/><Relationship Id="rId8" Type="http://schemas.openxmlformats.org/officeDocument/2006/relationships/hyperlink" Target="https://drive.google.com/file/d/1f3cun6vM0CME-H2_nhXB5eU8_ZWsTGwJ/view?usp=sharing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drive.google.com/file/d/15PSYE9HjfH0hNEDoG0ndsTIOTZ4xvLA6/view?usp=sharing" TargetMode="External"/><Relationship Id="rId11" Type="http://schemas.openxmlformats.org/officeDocument/2006/relationships/hyperlink" Target="https://drive.google.com/file/d/1GJXc40_ItxIw6FTe9bssWk-4YPDabVqV/view?usp=sharing" TargetMode="External"/><Relationship Id="rId10" Type="http://schemas.openxmlformats.org/officeDocument/2006/relationships/hyperlink" Target="https://drive.google.com/file/d/1WdGgs8KD7S56VyLepoplHJlvFNQ7aw7m/view?usp=sharing" TargetMode="External"/><Relationship Id="rId13" Type="http://schemas.openxmlformats.org/officeDocument/2006/relationships/hyperlink" Target="https://drive.google.com/file/d/1hK2ikUXvXrY95qX3oZ5XYhJPMcIkzyN7/view?usp=sharing" TargetMode="External"/><Relationship Id="rId12" Type="http://schemas.openxmlformats.org/officeDocument/2006/relationships/hyperlink" Target="https://drive.google.com/file/d/1GJXc40_ItxIw6FTe9bssWk-4YPDabVqV/view?usp=sharing" TargetMode="External"/><Relationship Id="rId15" Type="http://schemas.openxmlformats.org/officeDocument/2006/relationships/hyperlink" Target="https://drive.google.com/file/d/1APz_-ig_qquVN-FEV0EZqeL5Ppl8Qw_G/view?usp=sharing" TargetMode="External"/><Relationship Id="rId14" Type="http://schemas.openxmlformats.org/officeDocument/2006/relationships/hyperlink" Target="https://drive.google.com/file/d/1hK2ikUXvXrY95qX3oZ5XYhJPMcIkzyN7/view?usp=sharing" TargetMode="External"/><Relationship Id="rId17" Type="http://schemas.openxmlformats.org/officeDocument/2006/relationships/hyperlink" Target="https://drive.google.com/file/d/1iCdUlG02D-FvGy6mnCbCQ3SVsRM7fInj/view?usp=sharing" TargetMode="External"/><Relationship Id="rId16" Type="http://schemas.openxmlformats.org/officeDocument/2006/relationships/hyperlink" Target="https://drive.google.com/file/d/199k05lIHA7o4sRsETyiCau1SaXAZe_My/view?usp=sharing" TargetMode="External"/><Relationship Id="rId19" Type="http://schemas.openxmlformats.org/officeDocument/2006/relationships/hyperlink" Target="https://drive.google.com/file/d/1GNX6yTsFkwgpAt6QHHy39YnqiH1XPK6k/view?usp=sharing" TargetMode="External"/><Relationship Id="rId18" Type="http://schemas.openxmlformats.org/officeDocument/2006/relationships/hyperlink" Target="https://drive.google.com/file/d/11g4U07LEI6_g-2MESX7KZWI6NsFJYkA-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3" width="24.75"/>
    <col customWidth="1" min="4" max="4" width="23.5"/>
    <col customWidth="1" min="5" max="5" width="14.75"/>
    <col customWidth="1" min="6" max="6" width="19.0"/>
    <col customWidth="1" min="7" max="7" width="18.63"/>
    <col customWidth="1" min="8" max="8" width="30.5"/>
    <col customWidth="1" min="11" max="11" width="15.38"/>
    <col customWidth="1" min="12" max="12" width="42.38"/>
    <col customWidth="1" min="14" max="14" width="22.13"/>
    <col customWidth="1" min="15" max="15" width="40.88"/>
  </cols>
  <sheetData>
    <row r="1">
      <c r="A1" s="1" t="s">
        <v>0</v>
      </c>
      <c r="B1" s="2">
        <f>SUM(I3:I38)</f>
        <v>48463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5" t="s">
        <v>16</v>
      </c>
      <c r="B3" s="5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3"/>
      <c r="I3" s="7">
        <v>2196.0</v>
      </c>
      <c r="J3" s="3"/>
      <c r="K3" s="3" t="s">
        <v>23</v>
      </c>
      <c r="L3" s="8" t="s">
        <v>24</v>
      </c>
      <c r="M3" s="9">
        <v>45925.0</v>
      </c>
      <c r="N3" s="5" t="s">
        <v>25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5" t="s">
        <v>26</v>
      </c>
      <c r="B4" s="5" t="s">
        <v>17</v>
      </c>
      <c r="C4" s="6" t="s">
        <v>18</v>
      </c>
      <c r="D4" s="3"/>
      <c r="E4" s="3"/>
      <c r="F4" s="6" t="s">
        <v>21</v>
      </c>
      <c r="G4" s="10" t="s">
        <v>22</v>
      </c>
      <c r="H4" s="3"/>
      <c r="I4" s="7">
        <v>2823.0</v>
      </c>
      <c r="J4" s="3"/>
      <c r="K4" s="3" t="s">
        <v>27</v>
      </c>
      <c r="L4" s="8" t="s">
        <v>28</v>
      </c>
      <c r="M4" s="9">
        <v>45938.0</v>
      </c>
      <c r="N4" s="5" t="s">
        <v>25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5" t="s">
        <v>29</v>
      </c>
      <c r="B5" s="5" t="s">
        <v>30</v>
      </c>
      <c r="C5" s="6" t="s">
        <v>18</v>
      </c>
      <c r="D5" s="6" t="s">
        <v>31</v>
      </c>
      <c r="E5" s="6" t="s">
        <v>19</v>
      </c>
      <c r="F5" s="6" t="s">
        <v>21</v>
      </c>
      <c r="G5" s="6" t="s">
        <v>22</v>
      </c>
      <c r="H5" s="3"/>
      <c r="I5" s="7">
        <v>3756.0</v>
      </c>
      <c r="J5" s="3"/>
      <c r="K5" s="5" t="s">
        <v>32</v>
      </c>
      <c r="L5" s="8" t="s">
        <v>33</v>
      </c>
      <c r="M5" s="11">
        <v>45944.0</v>
      </c>
      <c r="N5" s="5" t="s">
        <v>25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5" t="s">
        <v>34</v>
      </c>
      <c r="B6" s="5" t="s">
        <v>35</v>
      </c>
      <c r="C6" s="6" t="s">
        <v>18</v>
      </c>
      <c r="D6" s="6" t="s">
        <v>36</v>
      </c>
      <c r="E6" s="6" t="s">
        <v>19</v>
      </c>
      <c r="F6" s="6" t="s">
        <v>21</v>
      </c>
      <c r="G6" s="6" t="s">
        <v>22</v>
      </c>
      <c r="H6" s="3"/>
      <c r="I6" s="7">
        <v>6469.0</v>
      </c>
      <c r="J6" s="3"/>
      <c r="K6" s="5" t="s">
        <v>37</v>
      </c>
      <c r="L6" s="8" t="s">
        <v>38</v>
      </c>
      <c r="M6" s="9">
        <v>45962.0</v>
      </c>
      <c r="N6" s="5" t="s">
        <v>25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5" t="s">
        <v>39</v>
      </c>
      <c r="B7" s="5" t="s">
        <v>40</v>
      </c>
      <c r="C7" s="6" t="s">
        <v>18</v>
      </c>
      <c r="D7" s="6" t="s">
        <v>31</v>
      </c>
      <c r="E7" s="6" t="s">
        <v>19</v>
      </c>
      <c r="F7" s="6" t="s">
        <v>21</v>
      </c>
      <c r="G7" s="6" t="s">
        <v>22</v>
      </c>
      <c r="H7" s="3"/>
      <c r="I7" s="7">
        <v>2242.0</v>
      </c>
      <c r="J7" s="7">
        <v>5.0</v>
      </c>
      <c r="K7" s="5" t="s">
        <v>41</v>
      </c>
      <c r="L7" s="12" t="s">
        <v>42</v>
      </c>
      <c r="M7" s="9">
        <v>45930.0</v>
      </c>
      <c r="N7" s="5" t="s">
        <v>25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5" t="s">
        <v>43</v>
      </c>
      <c r="B8" s="5" t="s">
        <v>44</v>
      </c>
      <c r="C8" s="6" t="s">
        <v>18</v>
      </c>
      <c r="D8" s="3"/>
      <c r="E8" s="3"/>
      <c r="F8" s="6" t="s">
        <v>21</v>
      </c>
      <c r="G8" s="3"/>
      <c r="H8" s="3"/>
      <c r="I8" s="7">
        <v>9236.0</v>
      </c>
      <c r="J8" s="3"/>
      <c r="K8" s="5" t="s">
        <v>45</v>
      </c>
      <c r="L8" s="12" t="s">
        <v>46</v>
      </c>
      <c r="M8" s="9">
        <v>45966.0</v>
      </c>
      <c r="N8" s="5" t="s">
        <v>25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5" t="s">
        <v>47</v>
      </c>
      <c r="B9" s="5" t="s">
        <v>48</v>
      </c>
      <c r="C9" s="6" t="s">
        <v>49</v>
      </c>
      <c r="D9" s="6" t="s">
        <v>50</v>
      </c>
      <c r="E9" s="6" t="s">
        <v>51</v>
      </c>
      <c r="F9" s="6" t="s">
        <v>52</v>
      </c>
      <c r="G9" s="6" t="s">
        <v>53</v>
      </c>
      <c r="H9" s="5" t="s">
        <v>54</v>
      </c>
      <c r="I9" s="7">
        <v>125.0</v>
      </c>
      <c r="J9" s="3"/>
      <c r="K9" s="5" t="s">
        <v>55</v>
      </c>
      <c r="L9" s="12" t="s">
        <v>56</v>
      </c>
      <c r="M9" s="9">
        <v>45940.0</v>
      </c>
      <c r="N9" s="5" t="s">
        <v>57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5" t="s">
        <v>58</v>
      </c>
      <c r="B10" s="5" t="s">
        <v>59</v>
      </c>
      <c r="C10" s="6" t="s">
        <v>60</v>
      </c>
      <c r="D10" s="6" t="s">
        <v>61</v>
      </c>
      <c r="E10" s="6" t="s">
        <v>51</v>
      </c>
      <c r="F10" s="6" t="s">
        <v>21</v>
      </c>
      <c r="G10" s="13" t="s">
        <v>22</v>
      </c>
      <c r="H10" s="5" t="s">
        <v>62</v>
      </c>
      <c r="I10" s="7">
        <v>500.0</v>
      </c>
      <c r="J10" s="7">
        <v>5.0</v>
      </c>
      <c r="K10" s="5" t="s">
        <v>63</v>
      </c>
      <c r="L10" s="8" t="s">
        <v>64</v>
      </c>
      <c r="M10" s="9">
        <v>45947.0</v>
      </c>
      <c r="N10" s="5" t="s">
        <v>65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5" t="s">
        <v>66</v>
      </c>
      <c r="B11" s="5" t="s">
        <v>59</v>
      </c>
      <c r="C11" s="6" t="s">
        <v>60</v>
      </c>
      <c r="D11" s="6" t="s">
        <v>61</v>
      </c>
      <c r="E11" s="6" t="s">
        <v>19</v>
      </c>
      <c r="F11" s="6" t="s">
        <v>67</v>
      </c>
      <c r="G11" s="6" t="s">
        <v>53</v>
      </c>
      <c r="H11" s="5" t="s">
        <v>62</v>
      </c>
      <c r="I11" s="7">
        <v>669.0</v>
      </c>
      <c r="J11" s="7">
        <v>1.0</v>
      </c>
      <c r="K11" s="5" t="s">
        <v>68</v>
      </c>
      <c r="L11" s="8" t="s">
        <v>69</v>
      </c>
      <c r="M11" s="9">
        <v>45946.0</v>
      </c>
      <c r="N11" s="5" t="s">
        <v>70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5" t="s">
        <v>71</v>
      </c>
      <c r="B12" s="3"/>
      <c r="C12" s="3"/>
      <c r="D12" s="3"/>
      <c r="E12" s="3"/>
      <c r="F12" s="3"/>
      <c r="G12" s="3"/>
      <c r="H12" s="3"/>
      <c r="I12" s="7">
        <v>5.0</v>
      </c>
      <c r="J12" s="3"/>
      <c r="K12" s="5" t="s">
        <v>72</v>
      </c>
      <c r="L12" s="8" t="s">
        <v>69</v>
      </c>
      <c r="M12" s="9">
        <v>45946.0</v>
      </c>
      <c r="N12" s="5" t="s">
        <v>70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5" t="s">
        <v>73</v>
      </c>
      <c r="B13" s="5" t="s">
        <v>59</v>
      </c>
      <c r="C13" s="6" t="s">
        <v>60</v>
      </c>
      <c r="D13" s="6" t="s">
        <v>61</v>
      </c>
      <c r="E13" s="6" t="s">
        <v>19</v>
      </c>
      <c r="F13" s="6" t="s">
        <v>67</v>
      </c>
      <c r="G13" s="6" t="s">
        <v>53</v>
      </c>
      <c r="H13" s="5" t="s">
        <v>62</v>
      </c>
      <c r="I13" s="7">
        <v>399.0</v>
      </c>
      <c r="J13" s="7">
        <v>1.0</v>
      </c>
      <c r="K13" s="5" t="s">
        <v>74</v>
      </c>
      <c r="L13" s="8" t="s">
        <v>75</v>
      </c>
      <c r="M13" s="9">
        <v>45960.0</v>
      </c>
      <c r="N13" s="5" t="s">
        <v>70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5" t="s">
        <v>76</v>
      </c>
      <c r="B14" s="3"/>
      <c r="C14" s="3"/>
      <c r="D14" s="3"/>
      <c r="E14" s="3"/>
      <c r="F14" s="3"/>
      <c r="G14" s="3"/>
      <c r="H14" s="3"/>
      <c r="I14" s="7">
        <v>5.0</v>
      </c>
      <c r="J14" s="3"/>
      <c r="K14" s="5" t="s">
        <v>77</v>
      </c>
      <c r="L14" s="8" t="s">
        <v>75</v>
      </c>
      <c r="M14" s="9">
        <v>45960.0</v>
      </c>
      <c r="N14" s="5" t="s">
        <v>70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5" t="s">
        <v>78</v>
      </c>
      <c r="B15" s="5" t="s">
        <v>59</v>
      </c>
      <c r="C15" s="6" t="s">
        <v>60</v>
      </c>
      <c r="D15" s="6" t="s">
        <v>61</v>
      </c>
      <c r="E15" s="6" t="s">
        <v>19</v>
      </c>
      <c r="F15" s="6" t="s">
        <v>67</v>
      </c>
      <c r="G15" s="6" t="s">
        <v>53</v>
      </c>
      <c r="H15" s="5" t="s">
        <v>62</v>
      </c>
      <c r="I15" s="7">
        <v>579.0</v>
      </c>
      <c r="J15" s="7">
        <v>1.0</v>
      </c>
      <c r="K15" s="3" t="s">
        <v>79</v>
      </c>
      <c r="L15" s="8" t="s">
        <v>80</v>
      </c>
      <c r="M15" s="9">
        <v>45934.0</v>
      </c>
      <c r="N15" s="5" t="s">
        <v>81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5" t="s">
        <v>82</v>
      </c>
      <c r="B16" s="3"/>
      <c r="C16" s="3"/>
      <c r="D16" s="3"/>
      <c r="E16" s="3"/>
      <c r="F16" s="3"/>
      <c r="G16" s="3"/>
      <c r="H16" s="3"/>
      <c r="I16" s="7">
        <v>5.0</v>
      </c>
      <c r="J16" s="3"/>
      <c r="K16" s="3" t="s">
        <v>83</v>
      </c>
      <c r="L16" s="8" t="s">
        <v>80</v>
      </c>
      <c r="M16" s="9">
        <v>45934.0</v>
      </c>
      <c r="N16" s="5" t="s">
        <v>81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5" t="s">
        <v>84</v>
      </c>
      <c r="B17" s="5" t="s">
        <v>59</v>
      </c>
      <c r="C17" s="6" t="s">
        <v>60</v>
      </c>
      <c r="D17" s="6" t="s">
        <v>61</v>
      </c>
      <c r="E17" s="6" t="s">
        <v>19</v>
      </c>
      <c r="F17" s="6" t="s">
        <v>67</v>
      </c>
      <c r="G17" s="6" t="s">
        <v>53</v>
      </c>
      <c r="H17" s="5" t="s">
        <v>62</v>
      </c>
      <c r="I17" s="7">
        <v>638.0</v>
      </c>
      <c r="J17" s="7">
        <v>1.0</v>
      </c>
      <c r="K17" s="5" t="s">
        <v>85</v>
      </c>
      <c r="L17" s="8" t="s">
        <v>86</v>
      </c>
      <c r="M17" s="9">
        <v>45947.0</v>
      </c>
      <c r="N17" s="5" t="s">
        <v>87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5" t="s">
        <v>88</v>
      </c>
      <c r="B18" s="5" t="s">
        <v>59</v>
      </c>
      <c r="C18" s="6" t="s">
        <v>60</v>
      </c>
      <c r="D18" s="6" t="s">
        <v>61</v>
      </c>
      <c r="E18" s="6" t="s">
        <v>19</v>
      </c>
      <c r="F18" s="6" t="s">
        <v>67</v>
      </c>
      <c r="G18" s="6" t="s">
        <v>53</v>
      </c>
      <c r="H18" s="5" t="s">
        <v>62</v>
      </c>
      <c r="I18" s="7">
        <v>201.0</v>
      </c>
      <c r="J18" s="14">
        <v>1.0</v>
      </c>
      <c r="K18" s="3" t="s">
        <v>89</v>
      </c>
      <c r="L18" s="8" t="s">
        <v>90</v>
      </c>
      <c r="M18" s="9">
        <v>45934.0</v>
      </c>
      <c r="N18" s="3" t="s">
        <v>87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5" t="s">
        <v>91</v>
      </c>
      <c r="B19" s="5" t="s">
        <v>92</v>
      </c>
      <c r="C19" s="6" t="s">
        <v>60</v>
      </c>
      <c r="D19" s="6" t="s">
        <v>61</v>
      </c>
      <c r="E19" s="6" t="s">
        <v>19</v>
      </c>
      <c r="F19" s="6" t="s">
        <v>21</v>
      </c>
      <c r="G19" s="6" t="s">
        <v>22</v>
      </c>
      <c r="H19" s="3"/>
      <c r="I19" s="7">
        <v>2596.0</v>
      </c>
      <c r="J19" s="7">
        <v>1.0</v>
      </c>
      <c r="K19" s="5" t="s">
        <v>93</v>
      </c>
      <c r="L19" s="8" t="s">
        <v>94</v>
      </c>
      <c r="M19" s="9">
        <v>45948.0</v>
      </c>
      <c r="N19" s="5" t="s">
        <v>95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5" t="s">
        <v>96</v>
      </c>
      <c r="B20" s="5" t="s">
        <v>97</v>
      </c>
      <c r="C20" s="6" t="s">
        <v>60</v>
      </c>
      <c r="D20" s="6" t="s">
        <v>61</v>
      </c>
      <c r="E20" s="6" t="s">
        <v>19</v>
      </c>
      <c r="F20" s="6" t="s">
        <v>67</v>
      </c>
      <c r="G20" s="6" t="s">
        <v>22</v>
      </c>
      <c r="H20" s="3"/>
      <c r="I20" s="7">
        <v>8024.0</v>
      </c>
      <c r="J20" s="7">
        <v>1.0</v>
      </c>
      <c r="K20" s="5" t="s">
        <v>98</v>
      </c>
      <c r="L20" s="8" t="s">
        <v>99</v>
      </c>
      <c r="M20" s="9">
        <v>45946.0</v>
      </c>
      <c r="N20" s="5" t="s">
        <v>100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5" t="s">
        <v>101</v>
      </c>
      <c r="B21" s="3"/>
      <c r="C21" s="3"/>
      <c r="D21" s="3"/>
      <c r="E21" s="3"/>
      <c r="F21" s="6" t="s">
        <v>67</v>
      </c>
      <c r="G21" s="3"/>
      <c r="H21" s="3"/>
      <c r="I21" s="7">
        <v>2006.0</v>
      </c>
      <c r="J21" s="7">
        <v>1.0</v>
      </c>
      <c r="K21" s="7">
        <v>589.0</v>
      </c>
      <c r="L21" s="8" t="s">
        <v>102</v>
      </c>
      <c r="M21" s="9">
        <v>45954.0</v>
      </c>
      <c r="N21" s="5" t="s">
        <v>103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5" t="s">
        <v>104</v>
      </c>
      <c r="B22" s="3"/>
      <c r="C22" s="6" t="s">
        <v>60</v>
      </c>
      <c r="D22" s="6" t="s">
        <v>61</v>
      </c>
      <c r="E22" s="3"/>
      <c r="F22" s="6" t="s">
        <v>67</v>
      </c>
      <c r="G22" s="6" t="s">
        <v>22</v>
      </c>
      <c r="H22" s="3"/>
      <c r="I22" s="7">
        <v>1992.0</v>
      </c>
      <c r="J22" s="14">
        <v>1.0</v>
      </c>
      <c r="K22" s="3" t="s">
        <v>105</v>
      </c>
      <c r="L22" s="8" t="s">
        <v>106</v>
      </c>
      <c r="M22" s="9">
        <v>45958.0</v>
      </c>
      <c r="N22" s="5" t="s">
        <v>70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5" t="s">
        <v>107</v>
      </c>
      <c r="B23" s="3"/>
      <c r="C23" s="3"/>
      <c r="D23" s="3"/>
      <c r="E23" s="3"/>
      <c r="F23" s="3"/>
      <c r="G23" s="3"/>
      <c r="H23" s="3"/>
      <c r="I23" s="7">
        <v>5.0</v>
      </c>
      <c r="J23" s="3"/>
      <c r="K23" s="5" t="s">
        <v>108</v>
      </c>
      <c r="L23" s="8" t="s">
        <v>106</v>
      </c>
      <c r="M23" s="9">
        <v>45958.0</v>
      </c>
      <c r="N23" s="5" t="s">
        <v>70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5" t="s">
        <v>109</v>
      </c>
      <c r="B24" s="3"/>
      <c r="C24" s="6" t="s">
        <v>18</v>
      </c>
      <c r="D24" s="6" t="s">
        <v>19</v>
      </c>
      <c r="E24" s="6" t="s">
        <v>19</v>
      </c>
      <c r="F24" s="6" t="s">
        <v>21</v>
      </c>
      <c r="G24" s="6" t="s">
        <v>53</v>
      </c>
      <c r="H24" s="3"/>
      <c r="I24" s="7">
        <v>1060.0</v>
      </c>
      <c r="J24" s="7">
        <v>1.0</v>
      </c>
      <c r="K24" s="7">
        <v>3835.0</v>
      </c>
      <c r="L24" s="8" t="s">
        <v>110</v>
      </c>
      <c r="M24" s="9">
        <v>45955.0</v>
      </c>
      <c r="N24" s="5" t="s">
        <v>111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5" t="s">
        <v>112</v>
      </c>
      <c r="B25" s="3"/>
      <c r="C25" s="6" t="s">
        <v>60</v>
      </c>
      <c r="D25" s="6" t="s">
        <v>61</v>
      </c>
      <c r="E25" s="3"/>
      <c r="F25" s="6" t="s">
        <v>21</v>
      </c>
      <c r="G25" s="3"/>
      <c r="H25" s="5" t="s">
        <v>62</v>
      </c>
      <c r="I25" s="7">
        <v>120.0</v>
      </c>
      <c r="J25" s="7">
        <v>1.0</v>
      </c>
      <c r="K25" s="5" t="s">
        <v>113</v>
      </c>
      <c r="L25" s="8" t="s">
        <v>114</v>
      </c>
      <c r="M25" s="9">
        <v>45947.0</v>
      </c>
      <c r="N25" s="5" t="s">
        <v>65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5" t="s">
        <v>115</v>
      </c>
      <c r="B26" s="3"/>
      <c r="C26" s="6" t="s">
        <v>60</v>
      </c>
      <c r="D26" s="6" t="s">
        <v>61</v>
      </c>
      <c r="E26" s="3"/>
      <c r="F26" s="6" t="s">
        <v>21</v>
      </c>
      <c r="G26" s="3"/>
      <c r="H26" s="5" t="s">
        <v>62</v>
      </c>
      <c r="I26" s="7">
        <v>240.0</v>
      </c>
      <c r="J26" s="5" t="s">
        <v>116</v>
      </c>
      <c r="K26" s="5" t="s">
        <v>117</v>
      </c>
      <c r="L26" s="8" t="s">
        <v>118</v>
      </c>
      <c r="M26" s="9">
        <v>45947.0</v>
      </c>
      <c r="N26" s="5" t="s">
        <v>65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5" t="s">
        <v>119</v>
      </c>
      <c r="B27" s="5" t="s">
        <v>59</v>
      </c>
      <c r="C27" s="6" t="s">
        <v>60</v>
      </c>
      <c r="D27" s="6" t="s">
        <v>61</v>
      </c>
      <c r="E27" s="3"/>
      <c r="F27" s="6" t="s">
        <v>67</v>
      </c>
      <c r="G27" s="3"/>
      <c r="H27" s="3"/>
      <c r="I27" s="7">
        <v>1359.0</v>
      </c>
      <c r="J27" s="7">
        <v>1.0</v>
      </c>
      <c r="K27" s="5" t="s">
        <v>120</v>
      </c>
      <c r="L27" s="8" t="s">
        <v>121</v>
      </c>
      <c r="M27" s="9">
        <v>45962.0</v>
      </c>
      <c r="N27" s="5" t="s">
        <v>70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5" t="s">
        <v>122</v>
      </c>
      <c r="B28" s="3"/>
      <c r="C28" s="3"/>
      <c r="D28" s="3"/>
      <c r="E28" s="3"/>
      <c r="F28" s="3"/>
      <c r="G28" s="3"/>
      <c r="H28" s="3"/>
      <c r="I28" s="7">
        <v>5.0</v>
      </c>
      <c r="J28" s="3"/>
      <c r="K28" s="5" t="s">
        <v>123</v>
      </c>
      <c r="L28" s="8" t="s">
        <v>121</v>
      </c>
      <c r="M28" s="9">
        <v>45962.0</v>
      </c>
      <c r="N28" s="5" t="s">
        <v>70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5" t="s">
        <v>124</v>
      </c>
      <c r="B29" s="5" t="s">
        <v>125</v>
      </c>
      <c r="C29" s="6" t="s">
        <v>60</v>
      </c>
      <c r="D29" s="6" t="s">
        <v>61</v>
      </c>
      <c r="E29" s="3"/>
      <c r="F29" s="6" t="s">
        <v>67</v>
      </c>
      <c r="G29" s="6" t="s">
        <v>53</v>
      </c>
      <c r="H29" s="5" t="s">
        <v>126</v>
      </c>
      <c r="I29" s="7">
        <v>399.0</v>
      </c>
      <c r="J29" s="7">
        <v>1.0</v>
      </c>
      <c r="K29" s="5" t="s">
        <v>127</v>
      </c>
      <c r="L29" s="8" t="s">
        <v>128</v>
      </c>
      <c r="M29" s="9">
        <v>45960.0</v>
      </c>
      <c r="N29" s="5" t="s">
        <v>70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5" t="s">
        <v>129</v>
      </c>
      <c r="B30" s="3"/>
      <c r="C30" s="3"/>
      <c r="D30" s="3"/>
      <c r="E30" s="3"/>
      <c r="F30" s="3"/>
      <c r="G30" s="3"/>
      <c r="H30" s="3"/>
      <c r="I30" s="7">
        <v>5.0</v>
      </c>
      <c r="J30" s="3"/>
      <c r="K30" s="5" t="s">
        <v>130</v>
      </c>
      <c r="L30" s="8" t="s">
        <v>128</v>
      </c>
      <c r="M30" s="9">
        <v>45960.0</v>
      </c>
      <c r="N30" s="5" t="s">
        <v>70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5" t="s">
        <v>131</v>
      </c>
      <c r="B31" s="5" t="s">
        <v>59</v>
      </c>
      <c r="C31" s="6" t="s">
        <v>60</v>
      </c>
      <c r="D31" s="6" t="s">
        <v>61</v>
      </c>
      <c r="E31" s="3"/>
      <c r="F31" s="6" t="s">
        <v>67</v>
      </c>
      <c r="G31" s="3"/>
      <c r="H31" s="3"/>
      <c r="I31" s="7">
        <v>799.0</v>
      </c>
      <c r="J31" s="7">
        <v>1.0</v>
      </c>
      <c r="K31" s="5" t="s">
        <v>132</v>
      </c>
      <c r="L31" s="8" t="s">
        <v>133</v>
      </c>
      <c r="M31" s="9">
        <v>45964.0</v>
      </c>
      <c r="N31" s="5" t="s">
        <v>70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5" t="s">
        <v>134</v>
      </c>
      <c r="B32" s="3"/>
      <c r="C32" s="3"/>
      <c r="D32" s="3"/>
      <c r="E32" s="3"/>
      <c r="F32" s="3"/>
      <c r="G32" s="3"/>
      <c r="H32" s="3"/>
      <c r="I32" s="7">
        <v>5.0</v>
      </c>
      <c r="J32" s="3"/>
      <c r="K32" s="5" t="s">
        <v>135</v>
      </c>
      <c r="L32" s="8" t="s">
        <v>133</v>
      </c>
      <c r="M32" s="9">
        <v>45964.0</v>
      </c>
      <c r="N32" s="5" t="s">
        <v>70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5" t="s">
        <v>136</v>
      </c>
      <c r="B34" s="5" t="s">
        <v>59</v>
      </c>
      <c r="C34" s="6" t="s">
        <v>60</v>
      </c>
      <c r="D34" s="6" t="s">
        <v>61</v>
      </c>
      <c r="E34" s="6" t="s">
        <v>19</v>
      </c>
      <c r="F34" s="6" t="s">
        <v>52</v>
      </c>
      <c r="G34" s="13" t="s">
        <v>22</v>
      </c>
      <c r="H34" s="5" t="s">
        <v>62</v>
      </c>
      <c r="I34" s="7">
        <v>0.0</v>
      </c>
      <c r="J34" s="7">
        <v>1.0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5" t="s">
        <v>137</v>
      </c>
      <c r="B35" s="5" t="s">
        <v>59</v>
      </c>
      <c r="C35" s="6" t="s">
        <v>60</v>
      </c>
      <c r="D35" s="6" t="s">
        <v>61</v>
      </c>
      <c r="E35" s="6" t="s">
        <v>19</v>
      </c>
      <c r="F35" s="6" t="s">
        <v>52</v>
      </c>
      <c r="G35" s="13" t="s">
        <v>22</v>
      </c>
      <c r="H35" s="5" t="s">
        <v>62</v>
      </c>
      <c r="I35" s="7">
        <v>0.0</v>
      </c>
      <c r="J35" s="7">
        <v>2.0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5" t="s">
        <v>138</v>
      </c>
      <c r="B36" s="5" t="s">
        <v>59</v>
      </c>
      <c r="C36" s="6" t="s">
        <v>60</v>
      </c>
      <c r="D36" s="6" t="s">
        <v>61</v>
      </c>
      <c r="E36" s="6" t="s">
        <v>19</v>
      </c>
      <c r="F36" s="6" t="s">
        <v>52</v>
      </c>
      <c r="G36" s="10" t="s">
        <v>22</v>
      </c>
      <c r="H36" s="3"/>
      <c r="I36" s="14">
        <v>0.0</v>
      </c>
      <c r="J36" s="14">
        <v>1.0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5" t="s">
        <v>139</v>
      </c>
      <c r="B37" s="5" t="s">
        <v>59</v>
      </c>
      <c r="C37" s="6" t="s">
        <v>60</v>
      </c>
      <c r="D37" s="6" t="s">
        <v>61</v>
      </c>
      <c r="E37" s="6" t="s">
        <v>19</v>
      </c>
      <c r="F37" s="6" t="s">
        <v>52</v>
      </c>
      <c r="G37" s="13" t="s">
        <v>22</v>
      </c>
      <c r="H37" s="5" t="s">
        <v>62</v>
      </c>
      <c r="I37" s="7">
        <v>0.0</v>
      </c>
      <c r="J37" s="7">
        <v>1.0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5" t="s">
        <v>140</v>
      </c>
      <c r="B38" s="5" t="s">
        <v>59</v>
      </c>
      <c r="C38" s="6" t="s">
        <v>60</v>
      </c>
      <c r="D38" s="6" t="s">
        <v>61</v>
      </c>
      <c r="E38" s="6" t="s">
        <v>19</v>
      </c>
      <c r="F38" s="6" t="s">
        <v>52</v>
      </c>
      <c r="G38" s="13" t="s">
        <v>22</v>
      </c>
      <c r="H38" s="5" t="s">
        <v>62</v>
      </c>
      <c r="I38" s="7">
        <v>0.0</v>
      </c>
      <c r="J38" s="7">
        <v>1.0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5" t="s">
        <v>141</v>
      </c>
      <c r="B40" s="3"/>
      <c r="C40" s="3"/>
      <c r="D40" s="3"/>
      <c r="E40" s="3"/>
      <c r="F40" s="3"/>
      <c r="G40" s="3"/>
      <c r="H40" s="3"/>
      <c r="I40" s="7">
        <f>SUM(I3:I38)</f>
        <v>48463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</sheetData>
  <dataValidations>
    <dataValidation type="list" allowBlank="1" showErrorMessage="1" sqref="D3:D64">
      <formula1>"Machining (Cutting &amp; Drilling),3D Printing,Welding,Carpenting,Laser Cutting,Sheet Forming,Other,Purchased Directly"</formula1>
    </dataValidation>
    <dataValidation type="list" allowBlank="1" showErrorMessage="1" sqref="E3:E64">
      <formula1>"Fastening,Binding or Gluing,Welding,Other"</formula1>
    </dataValidation>
    <dataValidation type="list" allowBlank="1" showErrorMessage="1" sqref="C3:C64">
      <formula1>"Purchased Finished Part,Manufacturing at IIT,Raw Material for Manufacturing,Testing Equipment,Fastnerm,Tape,Adhesive,etc,Stationary,Other"</formula1>
    </dataValidation>
    <dataValidation type="list" allowBlank="1" showErrorMessage="1" sqref="G3:G64">
      <formula1>"CAD Design Complete,CAD in Progress,Sketch Complete,CAD Not Complete,CAD Not Required"</formula1>
    </dataValidation>
    <dataValidation type="list" allowBlank="1" showErrorMessage="1" sqref="F3:F64">
      <formula1>"Online,Offline,Borrowed from DP Lab,Other"</formula1>
    </dataValidation>
  </dataValidations>
  <hyperlinks>
    <hyperlink r:id="rId1" ref="L3"/>
    <hyperlink r:id="rId2" ref="L4"/>
    <hyperlink r:id="rId3" ref="L5"/>
    <hyperlink r:id="rId4" ref="L6"/>
    <hyperlink r:id="rId5" ref="L7"/>
    <hyperlink r:id="rId6" ref="L8"/>
    <hyperlink r:id="rId7" ref="L9"/>
    <hyperlink r:id="rId8" ref="L10"/>
    <hyperlink r:id="rId9" ref="L11"/>
    <hyperlink r:id="rId10" ref="L12"/>
    <hyperlink r:id="rId11" ref="L13"/>
    <hyperlink r:id="rId12" ref="L14"/>
    <hyperlink r:id="rId13" ref="L15"/>
    <hyperlink r:id="rId14" ref="L16"/>
    <hyperlink r:id="rId15" ref="L17"/>
    <hyperlink r:id="rId16" ref="L18"/>
    <hyperlink r:id="rId17" ref="L19"/>
    <hyperlink r:id="rId18" ref="L20"/>
    <hyperlink r:id="rId19" ref="L21"/>
    <hyperlink r:id="rId20" ref="L22"/>
    <hyperlink r:id="rId21" ref="L23"/>
    <hyperlink r:id="rId22" ref="L24"/>
    <hyperlink r:id="rId23" ref="L25"/>
    <hyperlink r:id="rId24" ref="L26"/>
    <hyperlink r:id="rId25" ref="L27"/>
    <hyperlink r:id="rId26" ref="L28"/>
    <hyperlink r:id="rId27" ref="L29"/>
    <hyperlink r:id="rId28" ref="L30"/>
    <hyperlink r:id="rId29" ref="L31"/>
    <hyperlink r:id="rId30" ref="L32"/>
  </hyperlinks>
  <drawing r:id="rId31"/>
</worksheet>
</file>